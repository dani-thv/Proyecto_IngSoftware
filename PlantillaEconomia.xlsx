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rla Daniela\Desktop\Proyecto_IngSoftware\"/>
    </mc:Choice>
  </mc:AlternateContent>
  <xr:revisionPtr revIDLastSave="0" documentId="13_ncr:1_{F9F99A6A-8128-4642-822B-98C3D4C436B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Análisis Costo-Beneficio" sheetId="1" r:id="rId1"/>
    <sheet name="Hoja 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1" l="1"/>
  <c r="E22" i="1"/>
  <c r="D22" i="1"/>
  <c r="C22" i="1"/>
  <c r="G21" i="1"/>
  <c r="G20" i="1"/>
  <c r="G22" i="1" s="1"/>
  <c r="D17" i="1"/>
  <c r="F16" i="1"/>
  <c r="E16" i="1"/>
  <c r="D16" i="1"/>
  <c r="C16" i="1"/>
  <c r="G15" i="1"/>
  <c r="G14" i="1"/>
  <c r="G13" i="1"/>
  <c r="G16" i="1" s="1"/>
  <c r="F10" i="1"/>
  <c r="F17" i="1" s="1"/>
  <c r="E10" i="1"/>
  <c r="E17" i="1" s="1"/>
  <c r="D10" i="1"/>
  <c r="C10" i="1"/>
  <c r="C17" i="1" s="1"/>
  <c r="G9" i="1"/>
  <c r="G8" i="1"/>
  <c r="G7" i="1"/>
  <c r="G6" i="1"/>
  <c r="G5" i="1"/>
  <c r="G10" i="1" s="1"/>
  <c r="G17" i="1" s="1"/>
  <c r="C26" i="1" s="1"/>
  <c r="C27" i="1" l="1"/>
  <c r="C25" i="1"/>
</calcChain>
</file>

<file path=xl/sharedStrings.xml><?xml version="1.0" encoding="utf-8"?>
<sst xmlns="http://schemas.openxmlformats.org/spreadsheetml/2006/main" count="67" uniqueCount="49">
  <si>
    <t>PLANTILLA DE ANÁLISIS COSTO-BENEFICIO</t>
  </si>
  <si>
    <t>Proyecto:</t>
  </si>
  <si>
    <t>MedTriage – Sistema de Gestión de Turnos y Triaje Médico Automatizado</t>
  </si>
  <si>
    <t>Gerente de Proyecto:</t>
  </si>
  <si>
    <t>COSTOS DIRECTOS</t>
  </si>
  <si>
    <t>Categoría</t>
  </si>
  <si>
    <t>Ítem</t>
  </si>
  <si>
    <t>Mes 1</t>
  </si>
  <si>
    <t>Mes 2</t>
  </si>
  <si>
    <t>Mes 3</t>
  </si>
  <si>
    <t>Mes 4</t>
  </si>
  <si>
    <t>Total</t>
  </si>
  <si>
    <t>Personal</t>
  </si>
  <si>
    <t>Líder de Proyecto / Analista (1×$3.500.000)</t>
  </si>
  <si>
    <t>Desarrolladores Backend + Frontend (2×$3.200.000)</t>
  </si>
  <si>
    <t>Tester QA + DevOps (2×$2.900.000)</t>
  </si>
  <si>
    <t>Licencias</t>
  </si>
  <si>
    <t>Licencias de software (SSL/TLS + herramientas CI/CD)</t>
  </si>
  <si>
    <t>Equipos</t>
  </si>
  <si>
    <t>Servidor hospitalario y hardware de red</t>
  </si>
  <si>
    <t>SUBTOTAL – Costos Directos</t>
  </si>
  <si>
    <t>COSTOS INDIRECTOS</t>
  </si>
  <si>
    <t>Infraestructura</t>
  </si>
  <si>
    <t>Servicio de internet hospitalario</t>
  </si>
  <si>
    <t>Electricidad / servicios</t>
  </si>
  <si>
    <t>Contingencia</t>
  </si>
  <si>
    <t>Reserva de contingencia</t>
  </si>
  <si>
    <t>SUBTOTAL – Costos Indirectos</t>
  </si>
  <si>
    <t>COSTO TOTAL DEL PROYECTO (INVERSIÓN)</t>
  </si>
  <si>
    <t>BENEFICIOS ESPERADOS</t>
  </si>
  <si>
    <t>Tangible</t>
  </si>
  <si>
    <t>Ahorro en eficiencia operativa y tiempo de triaje</t>
  </si>
  <si>
    <t>Reducción costos operativos (papelería, errores clínicos, readmisiones)</t>
  </si>
  <si>
    <t>SUBTOTAL – Beneficios</t>
  </si>
  <si>
    <t>INDICADORES ECONÓMICOS</t>
  </si>
  <si>
    <t>Indicador</t>
  </si>
  <si>
    <t>Fórmula</t>
  </si>
  <si>
    <t>Valor</t>
  </si>
  <si>
    <t>Interpretación</t>
  </si>
  <si>
    <t>ROI</t>
  </si>
  <si>
    <t>(Beneficio − Inversión) / Inversión × 100</t>
  </si>
  <si>
    <t>−2,09% año 1 → equilibrio en mes 12; positivo y creciente desde el año 2</t>
  </si>
  <si>
    <t>Payback</t>
  </si>
  <si>
    <t>Inversión / Beneficio anual</t>
  </si>
  <si>
    <t>~12 meses → recuperación total de la inversión al mes 12</t>
  </si>
  <si>
    <t>Beneficio Neto</t>
  </si>
  <si>
    <t>Beneficio − Inversión</t>
  </si>
  <si>
    <t>−$1,6 M año 1; +$75 M anuales proyectados desde el año 2 en adelante</t>
  </si>
  <si>
    <t>Carla Daniela Martínez Panqueva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</si>
</sst>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0\%"/>
    <numFmt numFmtId="166" formatCode="0.00&quot; años&quot;"/>
  </numFmts>
  <fonts count="6" x14ac:knownFonts="1">
    <font>
      <sz val="11"/>
      <color theme="1"/>
      <name val="Calibri"/>
      <charset val="1"/>
    </font>
    <font>
      <b/>
      <sz val="14"/>
      <color theme="1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i/>
      <sz val="10"/>
      <color theme="1"/>
      <name val="Arial"/>
      <charset val="1"/>
    </font>
    <font>
      <b/>
      <sz val="11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0"/>
  <sheetViews>
    <sheetView tabSelected="1" zoomScaleNormal="100" workbookViewId="0">
      <selection activeCell="E2" sqref="E2:F2"/>
    </sheetView>
  </sheetViews>
  <sheetFormatPr baseColWidth="10" defaultColWidth="14.42578125" defaultRowHeight="15" x14ac:dyDescent="0.25"/>
  <cols>
    <col min="1" max="1" width="28" customWidth="1"/>
    <col min="2" max="2" width="29.42578125" customWidth="1"/>
    <col min="3" max="3" width="18.7109375" customWidth="1"/>
    <col min="4" max="6" width="14" customWidth="1"/>
    <col min="7" max="7" width="18.7109375" customWidth="1"/>
    <col min="8" max="26" width="8.7109375" customWidth="1"/>
  </cols>
  <sheetData>
    <row r="1" spans="1:7" ht="27.75" customHeight="1" x14ac:dyDescent="0.25">
      <c r="A1" s="8" t="s">
        <v>0</v>
      </c>
      <c r="B1" s="8"/>
      <c r="C1" s="8"/>
      <c r="D1" s="8"/>
      <c r="E1" s="8"/>
      <c r="F1" s="8"/>
      <c r="G1" s="8"/>
    </row>
    <row r="2" spans="1:7" ht="33" customHeight="1" x14ac:dyDescent="0.25">
      <c r="A2" s="7" t="s">
        <v>1</v>
      </c>
      <c r="B2" s="7"/>
      <c r="C2" s="6" t="s">
        <v>2</v>
      </c>
      <c r="D2" s="6"/>
      <c r="E2" s="7" t="s">
        <v>3</v>
      </c>
      <c r="F2" s="7"/>
      <c r="G2" s="10" t="s">
        <v>48</v>
      </c>
    </row>
    <row r="3" spans="1:7" ht="21.75" customHeight="1" x14ac:dyDescent="0.25">
      <c r="A3" s="5" t="s">
        <v>4</v>
      </c>
      <c r="B3" s="5"/>
      <c r="C3" s="5"/>
      <c r="D3" s="5"/>
      <c r="E3" s="5"/>
      <c r="F3" s="5"/>
      <c r="G3" s="5"/>
    </row>
    <row r="4" spans="1:7" ht="19.5" customHeight="1" x14ac:dyDescent="0.25">
      <c r="A4" s="11" t="s">
        <v>5</v>
      </c>
      <c r="B4" s="11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</row>
    <row r="5" spans="1:7" ht="18" customHeight="1" x14ac:dyDescent="0.25">
      <c r="A5" s="12" t="s">
        <v>12</v>
      </c>
      <c r="B5" s="12" t="s">
        <v>13</v>
      </c>
      <c r="C5" s="13">
        <v>3500000</v>
      </c>
      <c r="D5" s="13">
        <v>3500000</v>
      </c>
      <c r="E5" s="13">
        <v>3500000</v>
      </c>
      <c r="F5" s="13">
        <v>3500000</v>
      </c>
      <c r="G5" s="13">
        <f>SUM(C5:F5)</f>
        <v>14000000</v>
      </c>
    </row>
    <row r="6" spans="1:7" ht="18" customHeight="1" x14ac:dyDescent="0.25">
      <c r="A6" s="12" t="s">
        <v>12</v>
      </c>
      <c r="B6" s="12" t="s">
        <v>14</v>
      </c>
      <c r="C6" s="13">
        <v>6400000</v>
      </c>
      <c r="D6" s="13">
        <v>6400000</v>
      </c>
      <c r="E6" s="13">
        <v>6400000</v>
      </c>
      <c r="F6" s="13">
        <v>6400000</v>
      </c>
      <c r="G6" s="13">
        <f>SUM(C6:F6)</f>
        <v>25600000</v>
      </c>
    </row>
    <row r="7" spans="1:7" ht="18" customHeight="1" x14ac:dyDescent="0.25">
      <c r="A7" s="12" t="s">
        <v>12</v>
      </c>
      <c r="B7" s="12" t="s">
        <v>15</v>
      </c>
      <c r="C7" s="13">
        <v>5800000</v>
      </c>
      <c r="D7" s="13">
        <v>5800000</v>
      </c>
      <c r="E7" s="13">
        <v>5800000</v>
      </c>
      <c r="F7" s="13">
        <v>5800000</v>
      </c>
      <c r="G7" s="13">
        <f>SUM(C7:F7)</f>
        <v>23200000</v>
      </c>
    </row>
    <row r="8" spans="1:7" ht="18" customHeight="1" x14ac:dyDescent="0.25">
      <c r="A8" s="12" t="s">
        <v>16</v>
      </c>
      <c r="B8" s="12" t="s">
        <v>17</v>
      </c>
      <c r="C8" s="13">
        <v>2000000</v>
      </c>
      <c r="D8" s="13"/>
      <c r="E8" s="13"/>
      <c r="F8" s="13"/>
      <c r="G8" s="13">
        <f>SUM(C8:F8)</f>
        <v>2000000</v>
      </c>
    </row>
    <row r="9" spans="1:7" ht="18" customHeight="1" x14ac:dyDescent="0.25">
      <c r="A9" s="12" t="s">
        <v>18</v>
      </c>
      <c r="B9" s="12" t="s">
        <v>19</v>
      </c>
      <c r="C9" s="13">
        <v>5500000</v>
      </c>
      <c r="D9" s="13"/>
      <c r="E9" s="13"/>
      <c r="F9" s="13"/>
      <c r="G9" s="13">
        <f>SUM(C9:F9)</f>
        <v>5500000</v>
      </c>
    </row>
    <row r="10" spans="1:7" ht="19.5" customHeight="1" x14ac:dyDescent="0.25">
      <c r="A10" s="7" t="s">
        <v>20</v>
      </c>
      <c r="B10" s="7"/>
      <c r="C10" s="14">
        <f>SUM(C5:C9)</f>
        <v>23200000</v>
      </c>
      <c r="D10" s="14">
        <f>SUM(D5:D9)</f>
        <v>15700000</v>
      </c>
      <c r="E10" s="14">
        <f>SUM(E5:E9)</f>
        <v>15700000</v>
      </c>
      <c r="F10" s="14">
        <f>SUM(F5:F9)</f>
        <v>15700000</v>
      </c>
      <c r="G10" s="14">
        <f>SUM(G5:G9)</f>
        <v>70300000</v>
      </c>
    </row>
    <row r="11" spans="1:7" ht="21.75" customHeight="1" x14ac:dyDescent="0.25">
      <c r="A11" s="4" t="s">
        <v>21</v>
      </c>
      <c r="B11" s="4"/>
      <c r="C11" s="4"/>
      <c r="D11" s="4"/>
      <c r="E11" s="4"/>
      <c r="F11" s="4"/>
      <c r="G11" s="4"/>
    </row>
    <row r="12" spans="1:7" ht="19.5" customHeight="1" x14ac:dyDescent="0.25">
      <c r="A12" s="11" t="s">
        <v>5</v>
      </c>
      <c r="B12" s="11" t="s">
        <v>6</v>
      </c>
      <c r="C12" s="11" t="s">
        <v>7</v>
      </c>
      <c r="D12" s="11" t="s">
        <v>8</v>
      </c>
      <c r="E12" s="11" t="s">
        <v>9</v>
      </c>
      <c r="F12" s="11" t="s">
        <v>10</v>
      </c>
      <c r="G12" s="11" t="s">
        <v>11</v>
      </c>
    </row>
    <row r="13" spans="1:7" ht="18" customHeight="1" x14ac:dyDescent="0.25">
      <c r="A13" s="12" t="s">
        <v>22</v>
      </c>
      <c r="B13" s="12" t="s">
        <v>23</v>
      </c>
      <c r="C13" s="13">
        <v>300000</v>
      </c>
      <c r="D13" s="13">
        <v>300000</v>
      </c>
      <c r="E13" s="13">
        <v>300000</v>
      </c>
      <c r="F13" s="13">
        <v>300000</v>
      </c>
      <c r="G13" s="13">
        <f>SUM(C13:F13)</f>
        <v>1200000</v>
      </c>
    </row>
    <row r="14" spans="1:7" ht="18" customHeight="1" x14ac:dyDescent="0.25">
      <c r="A14" s="12" t="s">
        <v>22</v>
      </c>
      <c r="B14" s="12" t="s">
        <v>24</v>
      </c>
      <c r="C14" s="13">
        <v>150000</v>
      </c>
      <c r="D14" s="13">
        <v>150000</v>
      </c>
      <c r="E14" s="13">
        <v>150000</v>
      </c>
      <c r="F14" s="13">
        <v>150000</v>
      </c>
      <c r="G14" s="13">
        <f>SUM(C14:F14)</f>
        <v>600000</v>
      </c>
    </row>
    <row r="15" spans="1:7" ht="18" customHeight="1" x14ac:dyDescent="0.25">
      <c r="A15" s="12" t="s">
        <v>25</v>
      </c>
      <c r="B15" s="12" t="s">
        <v>26</v>
      </c>
      <c r="C15" s="13">
        <v>4500000</v>
      </c>
      <c r="D15" s="13"/>
      <c r="E15" s="13"/>
      <c r="F15" s="13"/>
      <c r="G15" s="13">
        <f>SUM(C15:F15)</f>
        <v>4500000</v>
      </c>
    </row>
    <row r="16" spans="1:7" ht="19.5" customHeight="1" x14ac:dyDescent="0.25">
      <c r="A16" s="7" t="s">
        <v>27</v>
      </c>
      <c r="B16" s="7"/>
      <c r="C16" s="14">
        <f>SUM(C13:C15)</f>
        <v>4950000</v>
      </c>
      <c r="D16" s="14">
        <f>SUM(D13:D15)</f>
        <v>450000</v>
      </c>
      <c r="E16" s="14">
        <f>SUM(E13:E15)</f>
        <v>450000</v>
      </c>
      <c r="F16" s="14">
        <f>SUM(F13:F15)</f>
        <v>450000</v>
      </c>
      <c r="G16" s="14">
        <f>SUM(G13:G15)</f>
        <v>6300000</v>
      </c>
    </row>
    <row r="17" spans="1:7" ht="24" customHeight="1" x14ac:dyDescent="0.25">
      <c r="A17" s="3" t="s">
        <v>28</v>
      </c>
      <c r="B17" s="3"/>
      <c r="C17" s="15">
        <f>C10+C16</f>
        <v>28150000</v>
      </c>
      <c r="D17" s="15">
        <f>D10+D16</f>
        <v>16150000</v>
      </c>
      <c r="E17" s="15">
        <f>E10+E16</f>
        <v>16150000</v>
      </c>
      <c r="F17" s="15">
        <f>F10+F16</f>
        <v>16150000</v>
      </c>
      <c r="G17" s="15">
        <f>G10+G16</f>
        <v>76600000</v>
      </c>
    </row>
    <row r="18" spans="1:7" ht="21.75" customHeight="1" x14ac:dyDescent="0.25">
      <c r="A18" s="5" t="s">
        <v>29</v>
      </c>
      <c r="B18" s="5"/>
      <c r="C18" s="5"/>
      <c r="D18" s="5"/>
      <c r="E18" s="5"/>
      <c r="F18" s="5"/>
      <c r="G18" s="5"/>
    </row>
    <row r="19" spans="1:7" ht="19.5" customHeight="1" x14ac:dyDescent="0.25">
      <c r="A19" s="11" t="s">
        <v>5</v>
      </c>
      <c r="B19" s="11" t="s">
        <v>6</v>
      </c>
      <c r="C19" s="11" t="s">
        <v>7</v>
      </c>
      <c r="D19" s="11" t="s">
        <v>8</v>
      </c>
      <c r="E19" s="11" t="s">
        <v>9</v>
      </c>
      <c r="F19" s="11" t="s">
        <v>10</v>
      </c>
      <c r="G19" s="11" t="s">
        <v>11</v>
      </c>
    </row>
    <row r="20" spans="1:7" ht="18" customHeight="1" x14ac:dyDescent="0.25">
      <c r="A20" s="12" t="s">
        <v>30</v>
      </c>
      <c r="B20" s="12" t="s">
        <v>31</v>
      </c>
      <c r="C20" s="13"/>
      <c r="D20" s="13"/>
      <c r="E20" s="13"/>
      <c r="F20" s="13">
        <v>65000000</v>
      </c>
      <c r="G20" s="13">
        <f>SUM(C20:F20)</f>
        <v>65000000</v>
      </c>
    </row>
    <row r="21" spans="1:7" ht="18" customHeight="1" x14ac:dyDescent="0.25">
      <c r="A21" s="12" t="s">
        <v>30</v>
      </c>
      <c r="B21" s="12" t="s">
        <v>32</v>
      </c>
      <c r="C21" s="13"/>
      <c r="D21" s="13"/>
      <c r="E21" s="13"/>
      <c r="F21" s="13">
        <v>10000000</v>
      </c>
      <c r="G21" s="13">
        <f>SUM(C21:F21)</f>
        <v>10000000</v>
      </c>
    </row>
    <row r="22" spans="1:7" ht="19.5" customHeight="1" x14ac:dyDescent="0.25">
      <c r="A22" s="7" t="s">
        <v>33</v>
      </c>
      <c r="B22" s="7"/>
      <c r="C22" s="14">
        <f>SUM(C20:C21)</f>
        <v>0</v>
      </c>
      <c r="D22" s="14">
        <f>SUM(D20:D21)</f>
        <v>0</v>
      </c>
      <c r="E22" s="14">
        <f>SUM(E20:E21)</f>
        <v>0</v>
      </c>
      <c r="F22" s="14">
        <f>SUM(F20:F21)</f>
        <v>75000000</v>
      </c>
      <c r="G22" s="14">
        <f>SUM(G20:G21)</f>
        <v>75000000</v>
      </c>
    </row>
    <row r="23" spans="1:7" ht="21.75" customHeight="1" x14ac:dyDescent="0.25">
      <c r="A23" s="5" t="s">
        <v>34</v>
      </c>
      <c r="B23" s="5"/>
      <c r="C23" s="5"/>
      <c r="D23" s="5"/>
      <c r="E23" s="5"/>
      <c r="F23" s="5"/>
      <c r="G23" s="5"/>
    </row>
    <row r="24" spans="1:7" ht="19.5" customHeight="1" x14ac:dyDescent="0.25">
      <c r="A24" s="16" t="s">
        <v>35</v>
      </c>
      <c r="B24" s="16" t="s">
        <v>36</v>
      </c>
      <c r="C24" s="16" t="s">
        <v>37</v>
      </c>
      <c r="D24" s="2" t="s">
        <v>38</v>
      </c>
      <c r="E24" s="2"/>
      <c r="F24" s="2"/>
      <c r="G24" s="2"/>
    </row>
    <row r="25" spans="1:7" ht="21.75" customHeight="1" x14ac:dyDescent="0.25">
      <c r="A25" s="9" t="s">
        <v>39</v>
      </c>
      <c r="B25" s="9" t="s">
        <v>40</v>
      </c>
      <c r="C25" s="17">
        <f>(G22-G17)/G17*100</f>
        <v>-2.0887728459530028</v>
      </c>
      <c r="D25" s="1" t="s">
        <v>41</v>
      </c>
      <c r="E25" s="1"/>
      <c r="F25" s="1"/>
      <c r="G25" s="1"/>
    </row>
    <row r="26" spans="1:7" ht="21.75" customHeight="1" x14ac:dyDescent="0.25">
      <c r="A26" s="9" t="s">
        <v>42</v>
      </c>
      <c r="B26" s="9" t="s">
        <v>43</v>
      </c>
      <c r="C26" s="18">
        <f>G17/G22</f>
        <v>1.0213333333333334</v>
      </c>
      <c r="D26" s="1" t="s">
        <v>44</v>
      </c>
      <c r="E26" s="1"/>
      <c r="F26" s="1"/>
      <c r="G26" s="1"/>
    </row>
    <row r="27" spans="1:7" ht="21.75" customHeight="1" x14ac:dyDescent="0.25">
      <c r="A27" s="9" t="s">
        <v>45</v>
      </c>
      <c r="B27" s="9" t="s">
        <v>46</v>
      </c>
      <c r="C27" s="19">
        <f>G22-G17</f>
        <v>-1600000</v>
      </c>
      <c r="D27" s="1" t="s">
        <v>47</v>
      </c>
      <c r="E27" s="1"/>
      <c r="F27" s="1"/>
      <c r="G27" s="1"/>
    </row>
    <row r="28" spans="1:7" ht="28.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</sheetData>
  <mergeCells count="16">
    <mergeCell ref="D27:G27"/>
    <mergeCell ref="A22:B22"/>
    <mergeCell ref="A23:G23"/>
    <mergeCell ref="D24:G24"/>
    <mergeCell ref="D25:G25"/>
    <mergeCell ref="D26:G26"/>
    <mergeCell ref="A10:B10"/>
    <mergeCell ref="A11:G11"/>
    <mergeCell ref="A16:B16"/>
    <mergeCell ref="A17:B17"/>
    <mergeCell ref="A18:G18"/>
    <mergeCell ref="A1:G1"/>
    <mergeCell ref="A2:B2"/>
    <mergeCell ref="C2:D2"/>
    <mergeCell ref="E2:F2"/>
    <mergeCell ref="A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4.42578125" defaultRowHeight="15" x14ac:dyDescent="0.25"/>
  <sheetData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Análisis Costo-Beneficio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Daniela Martínez</cp:lastModifiedBy>
  <cp:revision>0</cp:revision>
  <dcterms:created xsi:type="dcterms:W3CDTF">2026-06-05T12:03:21Z</dcterms:created>
  <dcterms:modified xsi:type="dcterms:W3CDTF">2026-06-15T03:37:18Z</dcterms:modified>
  <dc:language>en-US</dc:language>
</cp:coreProperties>
</file>